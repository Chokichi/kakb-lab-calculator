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kawagoe/Scripts/Lab Check/KaKb Lab/Excel Logic/"/>
    </mc:Choice>
  </mc:AlternateContent>
  <xr:revisionPtr revIDLastSave="0" documentId="8_{D8EE4A00-5207-664D-8A95-82A1CDB8B6CA}" xr6:coauthVersionLast="47" xr6:coauthVersionMax="47" xr10:uidLastSave="{00000000-0000-0000-0000-000000000000}"/>
  <bookViews>
    <workbookView xWindow="0" yWindow="780" windowWidth="36000" windowHeight="22600" xr2:uid="{F1031629-83F3-BB45-A566-638FC63625E3}"/>
  </bookViews>
  <sheets>
    <sheet name="Specific Heat and Heat Transfer" sheetId="1" r:id="rId1"/>
  </sheets>
  <calcPr calcId="0"/>
</workbook>
</file>

<file path=xl/calcChain.xml><?xml version="1.0" encoding="utf-8"?>
<calcChain xmlns="http://schemas.openxmlformats.org/spreadsheetml/2006/main">
  <c r="E39" i="1" l="1"/>
  <c r="E38" i="1"/>
  <c r="E37" i="1"/>
  <c r="E25" i="1"/>
  <c r="E24" i="1"/>
  <c r="C24" i="1" s="1"/>
  <c r="E23" i="1"/>
  <c r="E22" i="1"/>
  <c r="C39" i="1"/>
  <c r="C38" i="1"/>
  <c r="C37" i="1"/>
  <c r="C35" i="1"/>
  <c r="C34" i="1"/>
  <c r="C33" i="1"/>
  <c r="C32" i="1"/>
  <c r="C31" i="1"/>
  <c r="C30" i="1"/>
  <c r="C29" i="1"/>
  <c r="C28" i="1"/>
  <c r="C25" i="1"/>
  <c r="C23" i="1"/>
  <c r="C22" i="1"/>
  <c r="C16" i="1"/>
  <c r="C17" i="1"/>
  <c r="C18" i="1"/>
  <c r="C19" i="1"/>
  <c r="C20" i="1"/>
  <c r="C15" i="1"/>
</calcChain>
</file>

<file path=xl/sharedStrings.xml><?xml version="1.0" encoding="utf-8"?>
<sst xmlns="http://schemas.openxmlformats.org/spreadsheetml/2006/main" count="83" uniqueCount="46">
  <si>
    <t>\Start Parameters</t>
  </si>
  <si>
    <t>Title</t>
  </si>
  <si>
    <t>Specific Heat and Heat Transfer</t>
  </si>
  <si>
    <t>Warning Tolerance</t>
  </si>
  <si>
    <t>Incorrect Tolerance</t>
  </si>
  <si>
    <t>Trials</t>
  </si>
  <si>
    <t>\End Parameters</t>
  </si>
  <si>
    <t>\Start Table</t>
  </si>
  <si>
    <t>Section</t>
  </si>
  <si>
    <t>Subsection</t>
  </si>
  <si>
    <t>DataRef1</t>
  </si>
  <si>
    <t>Label</t>
  </si>
  <si>
    <t>Trial 1</t>
  </si>
  <si>
    <t>Unit</t>
  </si>
  <si>
    <t>Entry Type</t>
  </si>
  <si>
    <t>Part 1: Mixing Hot and Cold Water</t>
  </si>
  <si>
    <t>Data</t>
  </si>
  <si>
    <t>mass of the empty Styrofoam cup and lid</t>
  </si>
  <si>
    <t>g</t>
  </si>
  <si>
    <t>mass of the cup, lid, and cool water</t>
  </si>
  <si>
    <t>temperature of the cool water</t>
  </si>
  <si>
    <t>C</t>
  </si>
  <si>
    <t>temperature of the hot water</t>
  </si>
  <si>
    <t>mass of the cup, lid, and water mixture</t>
  </si>
  <si>
    <t>measured final temperature of the water mixture</t>
  </si>
  <si>
    <t>Calculations</t>
  </si>
  <si>
    <t>Mass of cold water</t>
  </si>
  <si>
    <t>Calculated</t>
  </si>
  <si>
    <t>Mass of hot water</t>
  </si>
  <si>
    <t>Calculated final temperature</t>
  </si>
  <si>
    <t>Percentage error</t>
  </si>
  <si>
    <t>%</t>
  </si>
  <si>
    <t>Part 2: Determining the Specific Heat of the Metal</t>
  </si>
  <si>
    <t>unknown number of the metal</t>
  </si>
  <si>
    <t>Text</t>
  </si>
  <si>
    <t>mass of the empty extra-large test tube</t>
  </si>
  <si>
    <t>mass of the extra-large test tube and metal</t>
  </si>
  <si>
    <t>initial temperature of the metal</t>
  </si>
  <si>
    <t>mass of the styrofoam cup and lid</t>
  </si>
  <si>
    <t>mass of the styrofoam cup, lid, cold water</t>
  </si>
  <si>
    <t>initial temperature of the cold water</t>
  </si>
  <si>
    <t>final temperature of the metal and water mixture</t>
  </si>
  <si>
    <t>mass of metal used</t>
  </si>
  <si>
    <t>mass of water used</t>
  </si>
  <si>
    <t>calculated specific heat of the unknown metal</t>
  </si>
  <si>
    <t>J/gC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</si>
</sst>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5ACA9-382B-AD48-A300-B0DBF0A51EB8}">
  <dimension ref="A1:G39"/>
  <sheetViews>
    <sheetView showFormulas="1" tabSelected="1" workbookViewId="0">
      <selection activeCell="E40" sqref="E40"/>
    </sheetView>
  </sheetViews>
  <sheetFormatPr baseColWidth="10" defaultRowHeight="16" x14ac:dyDescent="0.2"/>
  <cols>
    <col min="4" max="4" width="20.5" bestFit="1" customWidth="1"/>
    <col min="5" max="5" width="16.83203125" bestFit="1" customWidth="1"/>
  </cols>
  <sheetData>
    <row r="1" spans="1:7" x14ac:dyDescent="0.2">
      <c r="A1" t="s">
        <v>0</v>
      </c>
    </row>
    <row r="2" spans="1:7" x14ac:dyDescent="0.2">
      <c r="A2" t="s">
        <v>1</v>
      </c>
      <c r="B2" t="s">
        <v>2</v>
      </c>
    </row>
    <row r="3" spans="1:7" x14ac:dyDescent="0.2">
      <c r="A3" t="s">
        <v>3</v>
      </c>
      <c r="B3">
        <v>0.05</v>
      </c>
    </row>
    <row r="4" spans="1:7" x14ac:dyDescent="0.2">
      <c r="A4" t="s">
        <v>4</v>
      </c>
      <c r="B4">
        <v>0.1</v>
      </c>
    </row>
    <row r="5" spans="1:7" x14ac:dyDescent="0.2">
      <c r="A5" t="s">
        <v>5</v>
      </c>
      <c r="B5">
        <v>1</v>
      </c>
    </row>
    <row r="10" spans="1:7" x14ac:dyDescent="0.2">
      <c r="A10" t="s">
        <v>6</v>
      </c>
    </row>
    <row r="11" spans="1:7" x14ac:dyDescent="0.2">
      <c r="A11" t="s">
        <v>7</v>
      </c>
    </row>
    <row r="12" spans="1:7" x14ac:dyDescent="0.2">
      <c r="A12" t="s">
        <v>8</v>
      </c>
      <c r="B12" t="s">
        <v>9</v>
      </c>
      <c r="C12" t="s">
        <v>10</v>
      </c>
      <c r="D12" t="s">
        <v>11</v>
      </c>
      <c r="E12" t="s">
        <v>12</v>
      </c>
      <c r="F12" t="s">
        <v>13</v>
      </c>
      <c r="G12" t="s">
        <v>14</v>
      </c>
    </row>
    <row r="13" spans="1:7" x14ac:dyDescent="0.2">
      <c r="A13" t="s">
        <v>15</v>
      </c>
    </row>
    <row r="14" spans="1:7" x14ac:dyDescent="0.2">
      <c r="B14" t="s">
        <v>16</v>
      </c>
    </row>
    <row r="15" spans="1:7" x14ac:dyDescent="0.2">
      <c r="C15">
        <f>E15</f>
        <v>15</v>
      </c>
      <c r="D15" t="s">
        <v>17</v>
      </c>
      <c r="E15">
        <v>15</v>
      </c>
      <c r="F15" t="s">
        <v>18</v>
      </c>
      <c r="G15" t="s">
        <v>16</v>
      </c>
    </row>
    <row r="16" spans="1:7" x14ac:dyDescent="0.2">
      <c r="C16">
        <f t="shared" ref="C16:C25" si="0">E16</f>
        <v>40</v>
      </c>
      <c r="D16" t="s">
        <v>19</v>
      </c>
      <c r="E16">
        <v>40</v>
      </c>
      <c r="F16" t="s">
        <v>18</v>
      </c>
      <c r="G16" t="s">
        <v>16</v>
      </c>
    </row>
    <row r="17" spans="1:7" x14ac:dyDescent="0.2">
      <c r="C17">
        <f t="shared" si="0"/>
        <v>22</v>
      </c>
      <c r="D17" t="s">
        <v>20</v>
      </c>
      <c r="E17">
        <v>22</v>
      </c>
      <c r="F17" t="s">
        <v>21</v>
      </c>
      <c r="G17" t="s">
        <v>16</v>
      </c>
    </row>
    <row r="18" spans="1:7" x14ac:dyDescent="0.2">
      <c r="C18">
        <f t="shared" si="0"/>
        <v>60</v>
      </c>
      <c r="D18" t="s">
        <v>22</v>
      </c>
      <c r="E18">
        <v>60</v>
      </c>
      <c r="F18" t="s">
        <v>21</v>
      </c>
      <c r="G18" t="s">
        <v>16</v>
      </c>
    </row>
    <row r="19" spans="1:7" x14ac:dyDescent="0.2">
      <c r="C19">
        <f t="shared" si="0"/>
        <v>80</v>
      </c>
      <c r="D19" t="s">
        <v>23</v>
      </c>
      <c r="E19">
        <v>80</v>
      </c>
      <c r="F19" t="s">
        <v>18</v>
      </c>
      <c r="G19" t="s">
        <v>16</v>
      </c>
    </row>
    <row r="20" spans="1:7" x14ac:dyDescent="0.2">
      <c r="C20">
        <f t="shared" si="0"/>
        <v>45</v>
      </c>
      <c r="D20" t="s">
        <v>24</v>
      </c>
      <c r="E20">
        <v>45</v>
      </c>
      <c r="F20" t="s">
        <v>21</v>
      </c>
      <c r="G20" t="s">
        <v>16</v>
      </c>
    </row>
    <row r="21" spans="1:7" x14ac:dyDescent="0.2">
      <c r="B21" t="s">
        <v>25</v>
      </c>
    </row>
    <row r="22" spans="1:7" x14ac:dyDescent="0.2">
      <c r="C22">
        <f t="shared" si="0"/>
        <v>25</v>
      </c>
      <c r="D22" t="s">
        <v>26</v>
      </c>
      <c r="E22">
        <f>E16-E15</f>
        <v>25</v>
      </c>
      <c r="F22" t="s">
        <v>18</v>
      </c>
      <c r="G22" t="s">
        <v>27</v>
      </c>
    </row>
    <row r="23" spans="1:7" x14ac:dyDescent="0.2">
      <c r="C23">
        <f t="shared" si="0"/>
        <v>40</v>
      </c>
      <c r="D23" t="s">
        <v>28</v>
      </c>
      <c r="E23">
        <f>E19-E16</f>
        <v>40</v>
      </c>
      <c r="F23" t="s">
        <v>18</v>
      </c>
      <c r="G23" t="s">
        <v>27</v>
      </c>
    </row>
    <row r="24" spans="1:7" x14ac:dyDescent="0.2">
      <c r="C24">
        <f t="shared" si="0"/>
        <v>45.38461538461538</v>
      </c>
      <c r="D24" t="s">
        <v>29</v>
      </c>
      <c r="E24">
        <f>(E23/E22*E18+E17)/(E23/E22+1)</f>
        <v>45.38461538461538</v>
      </c>
      <c r="F24" t="s">
        <v>21</v>
      </c>
      <c r="G24" t="s">
        <v>27</v>
      </c>
    </row>
    <row r="25" spans="1:7" x14ac:dyDescent="0.2">
      <c r="C25">
        <f t="shared" si="0"/>
        <v>-0.84745762711863326</v>
      </c>
      <c r="D25" t="s">
        <v>30</v>
      </c>
      <c r="E25">
        <f>(E20-E24)/E24*100</f>
        <v>-0.84745762711863326</v>
      </c>
      <c r="F25" t="s">
        <v>31</v>
      </c>
      <c r="G25" t="s">
        <v>27</v>
      </c>
    </row>
    <row r="26" spans="1:7" x14ac:dyDescent="0.2">
      <c r="A26" t="s">
        <v>32</v>
      </c>
    </row>
    <row r="27" spans="1:7" x14ac:dyDescent="0.2">
      <c r="B27" t="s">
        <v>16</v>
      </c>
    </row>
    <row r="28" spans="1:7" x14ac:dyDescent="0.2">
      <c r="C28">
        <f t="shared" ref="C28:C35" si="1">E28</f>
        <v>10</v>
      </c>
      <c r="D28" t="s">
        <v>33</v>
      </c>
      <c r="E28">
        <v>10</v>
      </c>
      <c r="G28" t="s">
        <v>34</v>
      </c>
    </row>
    <row r="29" spans="1:7" x14ac:dyDescent="0.2">
      <c r="C29">
        <f t="shared" si="1"/>
        <v>40</v>
      </c>
      <c r="D29" t="s">
        <v>35</v>
      </c>
      <c r="E29">
        <v>40</v>
      </c>
      <c r="F29" t="s">
        <v>18</v>
      </c>
      <c r="G29" t="s">
        <v>16</v>
      </c>
    </row>
    <row r="30" spans="1:7" x14ac:dyDescent="0.2">
      <c r="C30">
        <f t="shared" si="1"/>
        <v>90</v>
      </c>
      <c r="D30" t="s">
        <v>36</v>
      </c>
      <c r="E30">
        <v>90</v>
      </c>
      <c r="F30" t="s">
        <v>18</v>
      </c>
      <c r="G30" t="s">
        <v>16</v>
      </c>
    </row>
    <row r="31" spans="1:7" x14ac:dyDescent="0.2">
      <c r="C31">
        <f t="shared" si="1"/>
        <v>100</v>
      </c>
      <c r="D31" t="s">
        <v>37</v>
      </c>
      <c r="E31">
        <v>100</v>
      </c>
      <c r="F31" t="s">
        <v>21</v>
      </c>
      <c r="G31" t="s">
        <v>16</v>
      </c>
    </row>
    <row r="32" spans="1:7" x14ac:dyDescent="0.2">
      <c r="C32">
        <f t="shared" si="1"/>
        <v>10</v>
      </c>
      <c r="D32" t="s">
        <v>38</v>
      </c>
      <c r="E32">
        <v>10</v>
      </c>
      <c r="F32" t="s">
        <v>18</v>
      </c>
      <c r="G32" t="s">
        <v>16</v>
      </c>
    </row>
    <row r="33" spans="2:7" x14ac:dyDescent="0.2">
      <c r="C33">
        <f t="shared" si="1"/>
        <v>60</v>
      </c>
      <c r="D33" t="s">
        <v>39</v>
      </c>
      <c r="E33">
        <v>60</v>
      </c>
      <c r="F33" t="s">
        <v>18</v>
      </c>
      <c r="G33" t="s">
        <v>16</v>
      </c>
    </row>
    <row r="34" spans="2:7" x14ac:dyDescent="0.2">
      <c r="C34">
        <f t="shared" si="1"/>
        <v>22</v>
      </c>
      <c r="D34" t="s">
        <v>40</v>
      </c>
      <c r="E34">
        <v>22</v>
      </c>
      <c r="F34" t="s">
        <v>21</v>
      </c>
      <c r="G34" t="s">
        <v>16</v>
      </c>
    </row>
    <row r="35" spans="2:7" x14ac:dyDescent="0.2">
      <c r="C35">
        <f t="shared" si="1"/>
        <v>35.700000000000003</v>
      </c>
      <c r="D35" t="s">
        <v>41</v>
      </c>
      <c r="E35">
        <v>35.700000000000003</v>
      </c>
      <c r="F35" t="s">
        <v>21</v>
      </c>
      <c r="G35" t="s">
        <v>16</v>
      </c>
    </row>
    <row r="36" spans="2:7" x14ac:dyDescent="0.2">
      <c r="B36" t="s">
        <v>25</v>
      </c>
    </row>
    <row r="37" spans="2:7" x14ac:dyDescent="0.2">
      <c r="C37">
        <f t="shared" ref="C37:C39" si="2">E37</f>
        <v>50</v>
      </c>
      <c r="D37" t="s">
        <v>42</v>
      </c>
      <c r="E37">
        <f>E30-E29</f>
        <v>50</v>
      </c>
      <c r="F37" t="s">
        <v>18</v>
      </c>
      <c r="G37" t="s">
        <v>27</v>
      </c>
    </row>
    <row r="38" spans="2:7" x14ac:dyDescent="0.2">
      <c r="C38">
        <f t="shared" si="2"/>
        <v>50</v>
      </c>
      <c r="D38" t="s">
        <v>43</v>
      </c>
      <c r="E38">
        <f>E33-E32</f>
        <v>50</v>
      </c>
      <c r="F38" t="s">
        <v>18</v>
      </c>
      <c r="G38" t="s">
        <v>27</v>
      </c>
    </row>
    <row r="39" spans="2:7" x14ac:dyDescent="0.2">
      <c r="C39">
        <f t="shared" si="2"/>
        <v>0.8914587869362367</v>
      </c>
      <c r="D39" t="s">
        <v>44</v>
      </c>
      <c r="E39">
        <f>-E38*4.184*(E35-E34)/E37/(E35-E31)</f>
        <v>0.8914587869362367</v>
      </c>
      <c r="F39" t="s">
        <v>45</v>
      </c>
      <c r="G39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Specific Heat and Heat Transfer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Kawagoe</dc:creator>
  <cp:lastModifiedBy>James Kawagoe</cp:lastModifiedBy>
  <dcterms:created xsi:type="dcterms:W3CDTF">2026-01-29T21:36:48Z</dcterms:created>
  <dcterms:modified xsi:type="dcterms:W3CDTF">2026-01-29T21:36:48Z</dcterms:modified>
</cp:coreProperties>
</file>