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awagoe/Scripts/Lab Check/KaKb Lab/Excel Logic/"/>
    </mc:Choice>
  </mc:AlternateContent>
  <xr:revisionPtr revIDLastSave="0" documentId="13_ncr:9_{A29C8FCA-C525-5B4F-9BAA-13D9EFCA4594}" xr6:coauthVersionLast="47" xr6:coauthVersionMax="47" xr10:uidLastSave="{00000000-0000-0000-0000-000000000000}"/>
  <bookViews>
    <workbookView xWindow="0" yWindow="780" windowWidth="18020" windowHeight="22600" xr2:uid="{F1031629-83F3-BB45-A566-638FC63625E3}"/>
  </bookViews>
  <sheets>
    <sheet name="Specific Heat and Heat Transfer" sheetId="1" r:id="rId1"/>
  </sheets>
  <calcPr calcId="0"/>
</workbook>
</file>

<file path=xl/calcChain.xml><?xml version="1.0" encoding="utf-8"?>
<calcChain xmlns="http://schemas.openxmlformats.org/spreadsheetml/2006/main">
  <c r="E29" i="1" l="1"/>
  <c r="E28" i="1"/>
  <c r="E32" i="1" s="1"/>
  <c r="C32" i="1" s="1"/>
  <c r="E27" i="1"/>
  <c r="E26" i="1"/>
  <c r="E25" i="1"/>
  <c r="C25" i="1" s="1"/>
  <c r="C29" i="1"/>
  <c r="C23" i="1"/>
  <c r="C22" i="1"/>
  <c r="C17" i="1"/>
  <c r="C18" i="1"/>
  <c r="C19" i="1"/>
  <c r="C20" i="1"/>
  <c r="C21" i="1"/>
  <c r="C16" i="1"/>
  <c r="E33" i="1" l="1"/>
  <c r="C33" i="1" s="1"/>
  <c r="E31" i="1"/>
  <c r="C31" i="1" s="1"/>
  <c r="C26" i="1"/>
  <c r="E30" i="1"/>
  <c r="E34" i="1" l="1"/>
  <c r="C34" i="1" s="1"/>
  <c r="C30" i="1"/>
  <c r="C28" i="1"/>
  <c r="C27" i="1"/>
</calcChain>
</file>

<file path=xl/sharedStrings.xml><?xml version="1.0" encoding="utf-8"?>
<sst xmlns="http://schemas.openxmlformats.org/spreadsheetml/2006/main" count="70" uniqueCount="39">
  <si>
    <t>\Start Parameters</t>
  </si>
  <si>
    <t>Title</t>
  </si>
  <si>
    <t>Warning Tolerance</t>
  </si>
  <si>
    <t>Incorrect Tolerance</t>
  </si>
  <si>
    <t>Trials</t>
  </si>
  <si>
    <t>\End Parameters</t>
  </si>
  <si>
    <t>\Start Table</t>
  </si>
  <si>
    <t>Section</t>
  </si>
  <si>
    <t>Subsection</t>
  </si>
  <si>
    <t>DataRef1</t>
  </si>
  <si>
    <t>Label</t>
  </si>
  <si>
    <t>Trial 1</t>
  </si>
  <si>
    <t>Unit</t>
  </si>
  <si>
    <t>Entry Type</t>
  </si>
  <si>
    <t>Data</t>
  </si>
  <si>
    <t>g</t>
  </si>
  <si>
    <t>Calculations</t>
  </si>
  <si>
    <t>Calculated</t>
  </si>
  <si>
    <t>%</t>
  </si>
  <si>
    <t>Separation of a Mixture</t>
  </si>
  <si>
    <t>Mass of empty evaporating dish</t>
  </si>
  <si>
    <t>Mass of dish and dry contents after NaI is removed</t>
  </si>
  <si>
    <t>Mass of dish and contents after NH_4Cl removed</t>
  </si>
  <si>
    <t>Mass of second empty evaporating dish (used for NaCl)</t>
  </si>
  <si>
    <t>Mass of second dish and dry NaCl - 1st weighing</t>
  </si>
  <si>
    <t>Mass of second dish and dry NaCl - 2nd weighing</t>
  </si>
  <si>
    <t>Mass of the first dish and dry sand</t>
  </si>
  <si>
    <t>Mass of the starting mixture:</t>
  </si>
  <si>
    <t>Mass of NaI in mixture</t>
  </si>
  <si>
    <t>Mass of NH_4Cl in mixture</t>
  </si>
  <si>
    <t>Mass of NaCl in mixture</t>
  </si>
  <si>
    <t>Mass of sand in mixture</t>
  </si>
  <si>
    <t>Percentage of NaI in mixture</t>
  </si>
  <si>
    <t>Percentage of NH_4Cl in mixture</t>
  </si>
  <si>
    <t>Percentage of NaCl in mixture</t>
  </si>
  <si>
    <t>Percentage of Sand in mixture</t>
  </si>
  <si>
    <t xml:space="preserve">% of original </t>
  </si>
  <si>
    <t>Mass of dish and unknown mixture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</si>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</sst>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ACA9-382B-AD48-A300-B0DBF0A51EB8}">
  <dimension ref="A1:G34"/>
  <sheetViews>
    <sheetView showFormulas="1" tabSelected="1" workbookViewId="0">
      <selection activeCell="A15" sqref="A15:XFD15"/>
    </sheetView>
  </sheetViews>
  <sheetFormatPr baseColWidth="10" defaultRowHeight="16" x14ac:dyDescent="0.2"/>
  <cols>
    <col min="4" max="4" width="20.5" bestFit="1" customWidth="1"/>
    <col min="5" max="5" width="16.83203125" bestFit="1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19</v>
      </c>
    </row>
    <row r="3" spans="1:7" x14ac:dyDescent="0.2">
      <c r="A3" t="s">
        <v>2</v>
      </c>
      <c r="B3">
        <v>0.01</v>
      </c>
    </row>
    <row r="4" spans="1:7" x14ac:dyDescent="0.2">
      <c r="A4" t="s">
        <v>3</v>
      </c>
      <c r="B4">
        <v>0.05</v>
      </c>
    </row>
    <row r="5" spans="1:7" x14ac:dyDescent="0.2">
      <c r="A5" t="s">
        <v>4</v>
      </c>
      <c r="B5">
        <v>1</v>
      </c>
    </row>
    <row r="10" spans="1:7" x14ac:dyDescent="0.2">
      <c r="A10" t="s">
        <v>5</v>
      </c>
    </row>
    <row r="11" spans="1:7" x14ac:dyDescent="0.2">
      <c r="A11" t="s">
        <v>6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38</v>
      </c>
    </row>
    <row r="14" spans="1:7" x14ac:dyDescent="0.2">
      <c r="B14" t="s">
        <v>14</v>
      </c>
    </row>
    <row r="16" spans="1:7" x14ac:dyDescent="0.2">
      <c r="C16">
        <f>E16</f>
        <v>1</v>
      </c>
      <c r="D16" t="s">
        <v>20</v>
      </c>
      <c r="E16">
        <v>1</v>
      </c>
      <c r="F16" t="s">
        <v>15</v>
      </c>
      <c r="G16" t="s">
        <v>14</v>
      </c>
    </row>
    <row r="17" spans="2:7" x14ac:dyDescent="0.2">
      <c r="C17">
        <f t="shared" ref="C17:C34" si="0">E17</f>
        <v>1.5</v>
      </c>
      <c r="D17" t="s">
        <v>37</v>
      </c>
      <c r="E17">
        <v>1.5</v>
      </c>
      <c r="F17" t="s">
        <v>15</v>
      </c>
      <c r="G17" t="s">
        <v>14</v>
      </c>
    </row>
    <row r="18" spans="2:7" x14ac:dyDescent="0.2">
      <c r="C18">
        <f t="shared" si="0"/>
        <v>1.4</v>
      </c>
      <c r="D18" t="s">
        <v>21</v>
      </c>
      <c r="E18">
        <v>1.4</v>
      </c>
      <c r="F18" t="s">
        <v>15</v>
      </c>
      <c r="G18" t="s">
        <v>14</v>
      </c>
    </row>
    <row r="19" spans="2:7" x14ac:dyDescent="0.2">
      <c r="C19">
        <f t="shared" si="0"/>
        <v>1.3</v>
      </c>
      <c r="D19" t="s">
        <v>22</v>
      </c>
      <c r="E19">
        <v>1.3</v>
      </c>
      <c r="F19" t="s">
        <v>15</v>
      </c>
      <c r="G19" t="s">
        <v>14</v>
      </c>
    </row>
    <row r="20" spans="2:7" x14ac:dyDescent="0.2">
      <c r="C20">
        <f t="shared" si="0"/>
        <v>1</v>
      </c>
      <c r="D20" t="s">
        <v>23</v>
      </c>
      <c r="E20">
        <v>1</v>
      </c>
      <c r="F20" t="s">
        <v>15</v>
      </c>
      <c r="G20" t="s">
        <v>14</v>
      </c>
    </row>
    <row r="21" spans="2:7" x14ac:dyDescent="0.2">
      <c r="C21">
        <f t="shared" si="0"/>
        <v>1.1000000000000001</v>
      </c>
      <c r="D21" t="s">
        <v>24</v>
      </c>
      <c r="E21">
        <v>1.1000000000000001</v>
      </c>
      <c r="F21" t="s">
        <v>15</v>
      </c>
      <c r="G21" t="s">
        <v>14</v>
      </c>
    </row>
    <row r="22" spans="2:7" x14ac:dyDescent="0.2">
      <c r="C22">
        <f t="shared" si="0"/>
        <v>1.1000000000000001</v>
      </c>
      <c r="D22" t="s">
        <v>25</v>
      </c>
      <c r="E22">
        <v>1.1000000000000001</v>
      </c>
      <c r="F22" t="s">
        <v>15</v>
      </c>
    </row>
    <row r="23" spans="2:7" x14ac:dyDescent="0.2">
      <c r="C23">
        <f t="shared" si="0"/>
        <v>1.2</v>
      </c>
      <c r="D23" t="s">
        <v>26</v>
      </c>
      <c r="E23">
        <v>1.2</v>
      </c>
      <c r="F23" t="s">
        <v>15</v>
      </c>
    </row>
    <row r="24" spans="2:7" x14ac:dyDescent="0.2">
      <c r="B24" t="s">
        <v>16</v>
      </c>
    </row>
    <row r="25" spans="2:7" x14ac:dyDescent="0.2">
      <c r="C25">
        <f t="shared" si="0"/>
        <v>0.5</v>
      </c>
      <c r="D25" t="s">
        <v>27</v>
      </c>
      <c r="E25">
        <f>E17-E16</f>
        <v>0.5</v>
      </c>
      <c r="F25" t="s">
        <v>15</v>
      </c>
      <c r="G25" t="s">
        <v>17</v>
      </c>
    </row>
    <row r="26" spans="2:7" x14ac:dyDescent="0.2">
      <c r="C26">
        <f t="shared" si="0"/>
        <v>0.10000000000000009</v>
      </c>
      <c r="D26" t="s">
        <v>28</v>
      </c>
      <c r="E26">
        <f>E17-E18</f>
        <v>0.10000000000000009</v>
      </c>
      <c r="F26" t="s">
        <v>15</v>
      </c>
      <c r="G26" t="s">
        <v>17</v>
      </c>
    </row>
    <row r="27" spans="2:7" x14ac:dyDescent="0.2">
      <c r="C27">
        <f t="shared" si="0"/>
        <v>9.9999999999999867E-2</v>
      </c>
      <c r="D27" t="s">
        <v>29</v>
      </c>
      <c r="E27">
        <f>E18-E19</f>
        <v>9.9999999999999867E-2</v>
      </c>
      <c r="F27" t="s">
        <v>15</v>
      </c>
      <c r="G27" t="s">
        <v>17</v>
      </c>
    </row>
    <row r="28" spans="2:7" x14ac:dyDescent="0.2">
      <c r="C28">
        <f t="shared" si="0"/>
        <v>0.10000000000000009</v>
      </c>
      <c r="D28" t="s">
        <v>30</v>
      </c>
      <c r="E28">
        <f>E22-E20</f>
        <v>0.10000000000000009</v>
      </c>
      <c r="F28" t="s">
        <v>15</v>
      </c>
      <c r="G28" t="s">
        <v>17</v>
      </c>
    </row>
    <row r="29" spans="2:7" x14ac:dyDescent="0.2">
      <c r="C29">
        <f t="shared" si="0"/>
        <v>0.19999999999999996</v>
      </c>
      <c r="D29" t="s">
        <v>31</v>
      </c>
      <c r="E29">
        <f>E23-E16</f>
        <v>0.19999999999999996</v>
      </c>
      <c r="F29" t="s">
        <v>15</v>
      </c>
      <c r="G29" t="s">
        <v>17</v>
      </c>
    </row>
    <row r="30" spans="2:7" x14ac:dyDescent="0.2">
      <c r="C30">
        <f t="shared" si="0"/>
        <v>20.000000000000018</v>
      </c>
      <c r="D30" t="s">
        <v>32</v>
      </c>
      <c r="E30">
        <f>E26/E25*100</f>
        <v>20.000000000000018</v>
      </c>
      <c r="F30" t="s">
        <v>18</v>
      </c>
      <c r="G30" t="s">
        <v>17</v>
      </c>
    </row>
    <row r="31" spans="2:7" x14ac:dyDescent="0.2">
      <c r="C31">
        <f t="shared" si="0"/>
        <v>19.999999999999972</v>
      </c>
      <c r="D31" t="s">
        <v>33</v>
      </c>
      <c r="E31">
        <f>E27/E25*100</f>
        <v>19.999999999999972</v>
      </c>
      <c r="F31" t="s">
        <v>18</v>
      </c>
      <c r="G31" t="s">
        <v>17</v>
      </c>
    </row>
    <row r="32" spans="2:7" x14ac:dyDescent="0.2">
      <c r="C32">
        <f t="shared" si="0"/>
        <v>20.000000000000018</v>
      </c>
      <c r="D32" t="s">
        <v>34</v>
      </c>
      <c r="E32">
        <f>E28/E25*100</f>
        <v>20.000000000000018</v>
      </c>
      <c r="F32" t="s">
        <v>18</v>
      </c>
      <c r="G32" t="s">
        <v>17</v>
      </c>
    </row>
    <row r="33" spans="3:7" x14ac:dyDescent="0.2">
      <c r="C33">
        <f t="shared" si="0"/>
        <v>39.999999999999993</v>
      </c>
      <c r="D33" t="s">
        <v>35</v>
      </c>
      <c r="E33">
        <f>E29/E25*100</f>
        <v>39.999999999999993</v>
      </c>
      <c r="F33" t="s">
        <v>18</v>
      </c>
      <c r="G33" t="s">
        <v>17</v>
      </c>
    </row>
    <row r="34" spans="3:7" x14ac:dyDescent="0.2">
      <c r="C34">
        <f t="shared" si="0"/>
        <v>100</v>
      </c>
      <c r="D34" t="s">
        <v>36</v>
      </c>
      <c r="E34">
        <f>E30+E31+E32+E33</f>
        <v>100</v>
      </c>
      <c r="F34" t="s">
        <v>18</v>
      </c>
      <c r="G3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 Heat and Heat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Kawagoe</dc:creator>
  <cp:lastModifiedBy>James Kawagoe</cp:lastModifiedBy>
  <dcterms:created xsi:type="dcterms:W3CDTF">2026-01-29T21:36:48Z</dcterms:created>
  <dcterms:modified xsi:type="dcterms:W3CDTF">2026-01-29T23:22:25Z</dcterms:modified>
</cp:coreProperties>
</file>