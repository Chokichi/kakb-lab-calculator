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kawagoe/Scripts/Lab Check/KaKb Lab/Excel Logic/"/>
    </mc:Choice>
  </mc:AlternateContent>
  <xr:revisionPtr revIDLastSave="0" documentId="13_ncr:1_{636FCDD0-42B7-B742-8B08-7267E755EFE1}" xr6:coauthVersionLast="47" xr6:coauthVersionMax="47" xr10:uidLastSave="{00000000-0000-0000-0000-000000000000}"/>
  <bookViews>
    <workbookView xWindow="0" yWindow="780" windowWidth="18020" windowHeight="22600" xr2:uid="{F1031629-83F3-BB45-A566-638FC63625E3}"/>
  </bookViews>
  <sheets>
    <sheet name="Specific Heat and Heat Transf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" l="1"/>
  <c r="E25" i="1"/>
  <c r="E23" i="1"/>
  <c r="E24" i="1" s="1"/>
  <c r="E22" i="1"/>
  <c r="C22" i="1" s="1"/>
  <c r="C26" i="1"/>
  <c r="C17" i="1"/>
  <c r="C18" i="1"/>
  <c r="C19" i="1"/>
  <c r="C20" i="1"/>
  <c r="C16" i="1"/>
  <c r="C28" i="1" l="1"/>
  <c r="C23" i="1"/>
  <c r="C27" i="1" l="1"/>
  <c r="C25" i="1"/>
  <c r="C24" i="1"/>
</calcChain>
</file>

<file path=xl/sharedStrings.xml><?xml version="1.0" encoding="utf-8"?>
<sst xmlns="http://schemas.openxmlformats.org/spreadsheetml/2006/main" count="52" uniqueCount="34">
  <si>
    <t>\Start Parameters</t>
  </si>
  <si>
    <t>Title</t>
  </si>
  <si>
    <t>Warning Tolerance</t>
  </si>
  <si>
    <t>Incorrect Tolerance</t>
  </si>
  <si>
    <t>Trials</t>
  </si>
  <si>
    <t>\End Parameters</t>
  </si>
  <si>
    <t>\Start Table</t>
  </si>
  <si>
    <t>Section</t>
  </si>
  <si>
    <t>Subsection</t>
  </si>
  <si>
    <t>DataRef1</t>
  </si>
  <si>
    <t>Label</t>
  </si>
  <si>
    <t>Trial 1</t>
  </si>
  <si>
    <t>Unit</t>
  </si>
  <si>
    <t>Entry Type</t>
  </si>
  <si>
    <t>Data</t>
  </si>
  <si>
    <t>g</t>
  </si>
  <si>
    <t>Calculations</t>
  </si>
  <si>
    <t>Calculated</t>
  </si>
  <si>
    <t>Results</t>
  </si>
  <si>
    <t>Emprical Formula of a Compound</t>
  </si>
  <si>
    <t>Mass of crucible and cover</t>
  </si>
  <si>
    <t>Mass of crucible, cover, and magnesium</t>
  </si>
  <si>
    <t>Mass of crucible, cover, and magnesium oxide after 1st heating</t>
  </si>
  <si>
    <t>Mass of crucible, cover, and magnesium oxide after 2nd heating</t>
  </si>
  <si>
    <t>Mass of crucible, cover, and magnesium oxide after 3rd heating (if necessary)</t>
  </si>
  <si>
    <t>Mass of magnesium</t>
  </si>
  <si>
    <t>Mass of magnesium oxide formed</t>
  </si>
  <si>
    <t>Calculate the mass of oxygen in the magnesium oxide</t>
  </si>
  <si>
    <t>Moles of Mg</t>
  </si>
  <si>
    <t>Moles of O</t>
  </si>
  <si>
    <t>Number of Mg in empirical formula</t>
  </si>
  <si>
    <t>Number of O in empirical formula</t>
  </si>
  <si>
    <t>text</t>
  </si>
  <si>
    <t>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</si>
</sst>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5ACA9-382B-AD48-A300-B0DBF0A51EB8}">
  <dimension ref="A1:G28"/>
  <sheetViews>
    <sheetView showFormulas="1" tabSelected="1" workbookViewId="0">
      <selection activeCell="D25" sqref="D25"/>
    </sheetView>
  </sheetViews>
  <sheetFormatPr baseColWidth="10" defaultRowHeight="16" x14ac:dyDescent="0.2"/>
  <cols>
    <col min="4" max="4" width="20.5" bestFit="1" customWidth="1"/>
    <col min="5" max="5" width="16.83203125" bestFit="1" customWidth="1"/>
  </cols>
  <sheetData>
    <row r="1" spans="1:7" x14ac:dyDescent="0.2">
      <c r="A1" t="s">
        <v>0</v>
      </c>
    </row>
    <row r="2" spans="1:7" x14ac:dyDescent="0.2">
      <c r="A2" t="s">
        <v>1</v>
      </c>
      <c r="B2" t="s">
        <v>19</v>
      </c>
    </row>
    <row r="3" spans="1:7" x14ac:dyDescent="0.2">
      <c r="A3" t="s">
        <v>2</v>
      </c>
      <c r="B3">
        <v>0.01</v>
      </c>
    </row>
    <row r="4" spans="1:7" x14ac:dyDescent="0.2">
      <c r="A4" t="s">
        <v>3</v>
      </c>
      <c r="B4">
        <v>0.05</v>
      </c>
    </row>
    <row r="5" spans="1:7" x14ac:dyDescent="0.2">
      <c r="A5" t="s">
        <v>4</v>
      </c>
      <c r="B5">
        <v>1</v>
      </c>
    </row>
    <row r="10" spans="1:7" x14ac:dyDescent="0.2">
      <c r="A10" t="s">
        <v>5</v>
      </c>
    </row>
    <row r="11" spans="1:7" x14ac:dyDescent="0.2">
      <c r="A11" t="s">
        <v>6</v>
      </c>
    </row>
    <row r="12" spans="1:7" x14ac:dyDescent="0.2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13</v>
      </c>
    </row>
    <row r="13" spans="1:7" x14ac:dyDescent="0.2">
      <c r="A13" t="s">
        <v>18</v>
      </c>
    </row>
    <row r="14" spans="1:7" x14ac:dyDescent="0.2">
      <c r="B14" t="s">
        <v>14</v>
      </c>
    </row>
    <row r="16" spans="1:7" x14ac:dyDescent="0.2">
      <c r="C16">
        <f>E16</f>
        <v>1</v>
      </c>
      <c r="D16" t="s">
        <v>20</v>
      </c>
      <c r="E16">
        <v>1</v>
      </c>
      <c r="F16" t="s">
        <v>15</v>
      </c>
      <c r="G16" t="s">
        <v>14</v>
      </c>
    </row>
    <row r="17" spans="2:7" x14ac:dyDescent="0.2">
      <c r="C17">
        <f t="shared" ref="C17:C31" si="0">E17</f>
        <v>1.5</v>
      </c>
      <c r="D17" t="s">
        <v>21</v>
      </c>
      <c r="E17">
        <v>1.5</v>
      </c>
      <c r="F17" t="s">
        <v>15</v>
      </c>
      <c r="G17" t="s">
        <v>14</v>
      </c>
    </row>
    <row r="18" spans="2:7" x14ac:dyDescent="0.2">
      <c r="C18">
        <f t="shared" si="0"/>
        <v>1.4</v>
      </c>
      <c r="D18" t="s">
        <v>22</v>
      </c>
      <c r="E18">
        <v>1.4</v>
      </c>
      <c r="F18" t="s">
        <v>15</v>
      </c>
      <c r="G18" t="s">
        <v>14</v>
      </c>
    </row>
    <row r="19" spans="2:7" x14ac:dyDescent="0.2">
      <c r="C19">
        <f t="shared" si="0"/>
        <v>1.3</v>
      </c>
      <c r="D19" t="s">
        <v>23</v>
      </c>
      <c r="E19">
        <v>1.3</v>
      </c>
      <c r="F19" t="s">
        <v>15</v>
      </c>
      <c r="G19" t="s">
        <v>14</v>
      </c>
    </row>
    <row r="20" spans="2:7" x14ac:dyDescent="0.2">
      <c r="C20">
        <f t="shared" si="0"/>
        <v>1</v>
      </c>
      <c r="D20" t="s">
        <v>24</v>
      </c>
      <c r="E20">
        <v>1</v>
      </c>
      <c r="F20" t="s">
        <v>15</v>
      </c>
      <c r="G20" t="s">
        <v>14</v>
      </c>
    </row>
    <row r="21" spans="2:7" x14ac:dyDescent="0.2">
      <c r="B21" t="s">
        <v>16</v>
      </c>
    </row>
    <row r="22" spans="2:7" x14ac:dyDescent="0.2">
      <c r="C22">
        <f t="shared" si="0"/>
        <v>0.5</v>
      </c>
      <c r="D22" t="s">
        <v>25</v>
      </c>
      <c r="E22">
        <f>E17-E16</f>
        <v>0.5</v>
      </c>
      <c r="F22" t="s">
        <v>15</v>
      </c>
      <c r="G22" t="s">
        <v>17</v>
      </c>
    </row>
    <row r="23" spans="2:7" x14ac:dyDescent="0.2">
      <c r="C23">
        <f t="shared" si="0"/>
        <v>0.30000000000000004</v>
      </c>
      <c r="D23" t="s">
        <v>26</v>
      </c>
      <c r="E23">
        <f>E19-E16</f>
        <v>0.30000000000000004</v>
      </c>
      <c r="F23" t="s">
        <v>15</v>
      </c>
      <c r="G23" t="s">
        <v>17</v>
      </c>
    </row>
    <row r="24" spans="2:7" x14ac:dyDescent="0.2">
      <c r="C24">
        <f t="shared" si="0"/>
        <v>-0.19999999999999996</v>
      </c>
      <c r="D24" t="s">
        <v>27</v>
      </c>
      <c r="E24">
        <f>E23-E22</f>
        <v>-0.19999999999999996</v>
      </c>
      <c r="F24" t="s">
        <v>15</v>
      </c>
      <c r="G24" t="s">
        <v>17</v>
      </c>
    </row>
    <row r="25" spans="2:7" x14ac:dyDescent="0.2">
      <c r="C25">
        <f t="shared" si="0"/>
        <v>2.0571898786257974E-2</v>
      </c>
      <c r="D25" t="s">
        <v>28</v>
      </c>
      <c r="E25">
        <f>E22/24.305</f>
        <v>2.0571898786257974E-2</v>
      </c>
      <c r="F25" t="s">
        <v>33</v>
      </c>
      <c r="G25" t="s">
        <v>17</v>
      </c>
    </row>
    <row r="26" spans="2:7" x14ac:dyDescent="0.2">
      <c r="C26">
        <f t="shared" si="0"/>
        <v>-1.2500781298831174E-2</v>
      </c>
      <c r="D26" t="s">
        <v>29</v>
      </c>
      <c r="E26">
        <f>E24/15.999</f>
        <v>-1.2500781298831174E-2</v>
      </c>
      <c r="F26" t="s">
        <v>33</v>
      </c>
      <c r="G26" t="s">
        <v>17</v>
      </c>
    </row>
    <row r="27" spans="2:7" x14ac:dyDescent="0.2">
      <c r="C27">
        <f t="shared" si="0"/>
        <v>1</v>
      </c>
      <c r="D27" t="s">
        <v>30</v>
      </c>
      <c r="E27">
        <v>1</v>
      </c>
      <c r="G27" t="s">
        <v>32</v>
      </c>
    </row>
    <row r="28" spans="2:7" x14ac:dyDescent="0.2">
      <c r="C28">
        <f t="shared" si="0"/>
        <v>2</v>
      </c>
      <c r="D28" t="s">
        <v>31</v>
      </c>
      <c r="E28">
        <v>2</v>
      </c>
      <c r="G28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Specific Heat and Heat Transfer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Kawagoe</dc:creator>
  <cp:lastModifiedBy>James Kawagoe</cp:lastModifiedBy>
  <dcterms:created xsi:type="dcterms:W3CDTF">2026-01-29T21:36:48Z</dcterms:created>
  <dcterms:modified xsi:type="dcterms:W3CDTF">2026-02-24T23:53:11Z</dcterms:modified>
</cp:coreProperties>
</file>